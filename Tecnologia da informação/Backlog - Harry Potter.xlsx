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51b5393c7c3979/Documentos/harry potter pi/site-harry-potter/Tecnologia da informação/"/>
    </mc:Choice>
  </mc:AlternateContent>
  <xr:revisionPtr revIDLastSave="251" documentId="8_{BF20829F-FBB3-4C62-84D8-88394E8ED7F8}" xr6:coauthVersionLast="47" xr6:coauthVersionMax="47" xr10:uidLastSave="{5BDFF723-A6FA-4E25-878A-0F19F74BA2DB}"/>
  <bookViews>
    <workbookView xWindow="-108" yWindow="-108" windowWidth="23256" windowHeight="12456" xr2:uid="{F1CCCD33-5DCF-476E-AE84-EE33DDC552B2}"/>
  </bookViews>
  <sheets>
    <sheet name="Planilha1" sheetId="1" r:id="rId1"/>
  </sheets>
  <definedNames>
    <definedName name="_xlnm._FilterDatabase" localSheetId="0" hidden="1">Planilha1!$A$2:$H$19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N7" i="1" s="1"/>
  <c r="K4" i="1"/>
  <c r="N6" i="1" s="1"/>
  <c r="K2" i="1"/>
  <c r="N4" i="1" s="1"/>
  <c r="K3" i="1"/>
  <c r="N5" i="1" s="1"/>
  <c r="K6" i="1" l="1"/>
  <c r="K7" i="1" s="1"/>
  <c r="N3" i="1" l="1"/>
  <c r="O3" i="1" s="1"/>
</calcChain>
</file>

<file path=xl/sharedStrings.xml><?xml version="1.0" encoding="utf-8"?>
<sst xmlns="http://schemas.openxmlformats.org/spreadsheetml/2006/main" count="106" uniqueCount="60">
  <si>
    <t>Requisitos</t>
  </si>
  <si>
    <t>Descrição</t>
  </si>
  <si>
    <t>Classificação</t>
  </si>
  <si>
    <t>Tamanho</t>
  </si>
  <si>
    <t>Estimativa</t>
  </si>
  <si>
    <t>Prioridade</t>
  </si>
  <si>
    <t>Status</t>
  </si>
  <si>
    <t xml:space="preserve">                  BackLog</t>
  </si>
  <si>
    <t>Criar a documentação do projeto</t>
  </si>
  <si>
    <t>Criar do git hub</t>
  </si>
  <si>
    <t>Criar o trello</t>
  </si>
  <si>
    <t>Criar modelagem lógica no banco de dados</t>
  </si>
  <si>
    <t>Criar a pagina home</t>
  </si>
  <si>
    <t>Criar aba de cadastro e login</t>
  </si>
  <si>
    <t>Criar aba para cada casa</t>
  </si>
  <si>
    <t>Criar banco de dados na virtual box</t>
  </si>
  <si>
    <t>Criar a Dashboard</t>
  </si>
  <si>
    <t>Criar quiz das casas</t>
  </si>
  <si>
    <t>Contendo contexto, objetivo, justificativa, escopo, premissas e restrições.</t>
  </si>
  <si>
    <t>Criar um repositório no git hub para hospedar o código.</t>
  </si>
  <si>
    <t>Para gerenciar o meu processo e armazenar as atividades feitas no dia.</t>
  </si>
  <si>
    <t>Criação da modelagem lógica das tabelas</t>
  </si>
  <si>
    <t>Importante</t>
  </si>
  <si>
    <t>Criação de páginas de cada casa de hogwarts para o usuário acessar</t>
  </si>
  <si>
    <t>Criar comandos no SQL</t>
  </si>
  <si>
    <t>Para visualização das tabelas juntas</t>
  </si>
  <si>
    <t xml:space="preserve">Criar protótipo do site </t>
  </si>
  <si>
    <t>Criação do  protótipo para melhor visualização do site</t>
  </si>
  <si>
    <t>Criar diagrama de solução técnica</t>
  </si>
  <si>
    <t>Criar diagrama de visão de negócio</t>
  </si>
  <si>
    <t>Criar banco de dados</t>
  </si>
  <si>
    <t>Criação das tabelas no MySQL</t>
  </si>
  <si>
    <t>Instalar a Virtual Box Lubuntu</t>
  </si>
  <si>
    <t>Instalação da virtual box na máquina</t>
  </si>
  <si>
    <t>Essencial</t>
  </si>
  <si>
    <t>P</t>
  </si>
  <si>
    <t>A fazer</t>
  </si>
  <si>
    <t>Semana</t>
  </si>
  <si>
    <t>Total</t>
  </si>
  <si>
    <t>Média</t>
  </si>
  <si>
    <t>Pontos Fibonacci</t>
  </si>
  <si>
    <t>Planejado</t>
  </si>
  <si>
    <t>Semana 1</t>
  </si>
  <si>
    <t>Semana 2</t>
  </si>
  <si>
    <t>Semana 3</t>
  </si>
  <si>
    <t>Semana 4</t>
  </si>
  <si>
    <t>M</t>
  </si>
  <si>
    <t>Criação da página que o usuário tem maior visualizção do site</t>
  </si>
  <si>
    <t>Criação das abas para o cliente poder se cadastrar</t>
  </si>
  <si>
    <t>Concluído</t>
  </si>
  <si>
    <t>Em andamento</t>
  </si>
  <si>
    <t>G</t>
  </si>
  <si>
    <t>Inserir o banco de dados na Vm Lubuntu</t>
  </si>
  <si>
    <t>Criação do diagrama de solução técnica para entender o funcionamento técnico</t>
  </si>
  <si>
    <t>Criação do diagrama de visão de negócio para visualização simples do funcionamento</t>
  </si>
  <si>
    <t>Criação do quiz para o usuário descibrir qual casa será selecionado</t>
  </si>
  <si>
    <t>Visualização das kpis e os gráficos sobre idade dos fãs, quantas pessoas fizeram o quiz.</t>
  </si>
  <si>
    <t>Desejável</t>
  </si>
  <si>
    <t>Quiz de feitiços</t>
  </si>
  <si>
    <t>Realizar um quiz para o usuário adivinhar o que cada feitço faz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</si>
</sst>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2"/>
      <name val="Aptos Narrow"/>
      <family val="2"/>
      <scheme val="minor"/>
    </font>
    <font>
      <b/>
      <sz val="16"/>
      <color theme="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Planilha1!$N$2</c:f>
              <c:strCache>
                <c:ptCount val="1"/>
                <c:pt idx="0">
                  <c:v>Pontos Fibonacci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Planilha1!$N$3:$N$7</c:f>
              <c:numCache>
                <c:formatCode>General</c:formatCode>
                <c:ptCount val="5"/>
                <c:pt idx="0">
                  <c:v>131</c:v>
                </c:pt>
                <c:pt idx="1">
                  <c:v>39</c:v>
                </c:pt>
                <c:pt idx="2">
                  <c:v>68</c:v>
                </c:pt>
                <c:pt idx="3">
                  <c:v>24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C-45CB-A9CD-9F1BBF031595}"/>
            </c:ext>
          </c:extLst>
        </c:ser>
        <c:ser>
          <c:idx val="1"/>
          <c:order val="1"/>
          <c:tx>
            <c:strRef>
              <c:f>Planilha1!$O$2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Planilha1!$O$3:$O$7</c:f>
              <c:numCache>
                <c:formatCode>General</c:formatCode>
                <c:ptCount val="5"/>
                <c:pt idx="0">
                  <c:v>131</c:v>
                </c:pt>
                <c:pt idx="1">
                  <c:v>22</c:v>
                </c:pt>
                <c:pt idx="2">
                  <c:v>42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8C-45CB-A9CD-9F1BBF031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014656"/>
        <c:axId val="991019936"/>
      </c:lineChart>
      <c:catAx>
        <c:axId val="991014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1019936"/>
        <c:crosses val="autoZero"/>
        <c:auto val="1"/>
        <c:lblAlgn val="ctr"/>
        <c:lblOffset val="100"/>
        <c:noMultiLvlLbl val="0"/>
      </c:catAx>
      <c:valAx>
        <c:axId val="99101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101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7</xdr:row>
      <xdr:rowOff>347663</xdr:rowOff>
    </xdr:from>
    <xdr:to>
      <xdr:col>15</xdr:col>
      <xdr:colOff>542925</xdr:colOff>
      <xdr:row>11</xdr:row>
      <xdr:rowOff>576263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E688F1-0591-FAF3-00C4-0AEF9E715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E630-EFD3-45D2-A1CD-DE09409910D0}">
  <dimension ref="A1:O32"/>
  <sheetViews>
    <sheetView tabSelected="1" zoomScale="44" zoomScaleNormal="90" workbookViewId="0">
      <selection activeCell="T8" sqref="T8"/>
    </sheetView>
  </sheetViews>
  <sheetFormatPr defaultRowHeight="14.4" x14ac:dyDescent="0.3"/>
  <cols>
    <col min="1" max="1" width="24" style="5" customWidth="1"/>
    <col min="2" max="2" width="28" style="5" bestFit="1" customWidth="1"/>
    <col min="3" max="4" width="13.109375" style="5" customWidth="1"/>
    <col min="5" max="5" width="13.33203125" style="5" customWidth="1"/>
    <col min="6" max="6" width="12.5546875" style="5" customWidth="1"/>
    <col min="7" max="7" width="8.88671875" style="5"/>
    <col min="8" max="8" width="11.109375" style="5" bestFit="1" customWidth="1"/>
    <col min="10" max="10" width="11.44140625" customWidth="1"/>
    <col min="14" max="14" width="11.5546875" customWidth="1"/>
    <col min="15" max="15" width="10.44140625" customWidth="1"/>
  </cols>
  <sheetData>
    <row r="1" spans="1:15" ht="35.4" customHeight="1" x14ac:dyDescent="0.3">
      <c r="A1" s="12" t="s">
        <v>7</v>
      </c>
      <c r="B1" s="12"/>
      <c r="C1" s="12"/>
      <c r="D1" s="12"/>
      <c r="E1" s="12"/>
      <c r="F1" s="12"/>
      <c r="G1" s="12"/>
      <c r="H1" s="12"/>
    </row>
    <row r="2" spans="1:15" ht="31.2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37</v>
      </c>
      <c r="H2" s="4" t="s">
        <v>6</v>
      </c>
      <c r="J2" s="8" t="s">
        <v>42</v>
      </c>
      <c r="K2" s="6">
        <f>SUMIF(G:G,1,E:E)</f>
        <v>39</v>
      </c>
      <c r="M2" s="7"/>
      <c r="N2" s="8" t="s">
        <v>40</v>
      </c>
      <c r="O2" s="8" t="s">
        <v>41</v>
      </c>
    </row>
    <row r="3" spans="1:15" ht="49.95" customHeight="1" x14ac:dyDescent="0.3">
      <c r="A3" s="5" t="s">
        <v>8</v>
      </c>
      <c r="B3" s="5" t="s">
        <v>18</v>
      </c>
      <c r="C3" s="5" t="s">
        <v>34</v>
      </c>
      <c r="D3" s="5" t="s">
        <v>35</v>
      </c>
      <c r="E3" s="5">
        <v>5</v>
      </c>
      <c r="F3" s="5">
        <v>1</v>
      </c>
      <c r="G3" s="5">
        <v>1</v>
      </c>
      <c r="H3" s="11" t="s">
        <v>50</v>
      </c>
      <c r="J3" s="8" t="s">
        <v>43</v>
      </c>
      <c r="K3" s="6">
        <f>SUMIF(G:G,2,E:E)</f>
        <v>68</v>
      </c>
      <c r="M3" s="8" t="s">
        <v>38</v>
      </c>
      <c r="N3" s="6">
        <f>K6</f>
        <v>131</v>
      </c>
      <c r="O3" s="6">
        <f>N3</f>
        <v>131</v>
      </c>
    </row>
    <row r="4" spans="1:15" ht="49.95" customHeight="1" x14ac:dyDescent="0.3">
      <c r="A4" s="5" t="s">
        <v>9</v>
      </c>
      <c r="B4" s="5" t="s">
        <v>19</v>
      </c>
      <c r="C4" s="5" t="s">
        <v>34</v>
      </c>
      <c r="D4" s="5" t="s">
        <v>35</v>
      </c>
      <c r="E4" s="5">
        <v>5</v>
      </c>
      <c r="F4" s="5">
        <v>4</v>
      </c>
      <c r="G4" s="5">
        <v>1</v>
      </c>
      <c r="H4" s="10" t="s">
        <v>49</v>
      </c>
      <c r="J4" s="8" t="s">
        <v>44</v>
      </c>
      <c r="K4" s="6">
        <f>SUMIF(G:G,3,E:E)</f>
        <v>24</v>
      </c>
      <c r="M4" s="8" t="s">
        <v>42</v>
      </c>
      <c r="N4" s="6">
        <f>K2</f>
        <v>39</v>
      </c>
      <c r="O4" s="6">
        <v>22</v>
      </c>
    </row>
    <row r="5" spans="1:15" ht="49.95" customHeight="1" x14ac:dyDescent="0.3">
      <c r="A5" s="5" t="s">
        <v>10</v>
      </c>
      <c r="B5" s="5" t="s">
        <v>20</v>
      </c>
      <c r="C5" s="5" t="s">
        <v>22</v>
      </c>
      <c r="D5" s="5" t="s">
        <v>35</v>
      </c>
      <c r="E5" s="5">
        <v>5</v>
      </c>
      <c r="F5" s="5">
        <v>5</v>
      </c>
      <c r="G5" s="5">
        <v>1</v>
      </c>
      <c r="H5" s="10" t="s">
        <v>49</v>
      </c>
      <c r="J5" s="8" t="s">
        <v>45</v>
      </c>
      <c r="K5" s="6">
        <f>SUMIF(G:G,3,E:E)</f>
        <v>24</v>
      </c>
      <c r="M5" s="8" t="s">
        <v>43</v>
      </c>
      <c r="N5" s="6">
        <f>K3</f>
        <v>68</v>
      </c>
      <c r="O5" s="6">
        <v>42</v>
      </c>
    </row>
    <row r="6" spans="1:15" ht="49.95" customHeight="1" x14ac:dyDescent="0.3">
      <c r="A6" s="5" t="s">
        <v>11</v>
      </c>
      <c r="B6" s="5" t="s">
        <v>21</v>
      </c>
      <c r="C6" s="5" t="s">
        <v>34</v>
      </c>
      <c r="D6" s="5" t="s">
        <v>46</v>
      </c>
      <c r="E6" s="5">
        <v>8</v>
      </c>
      <c r="F6" s="5">
        <v>1</v>
      </c>
      <c r="G6" s="5">
        <v>3</v>
      </c>
      <c r="H6" s="10" t="s">
        <v>49</v>
      </c>
      <c r="J6" s="8" t="s">
        <v>38</v>
      </c>
      <c r="K6" s="6">
        <f>SUM(K2:K4)</f>
        <v>131</v>
      </c>
      <c r="M6" s="8" t="s">
        <v>44</v>
      </c>
      <c r="N6" s="6">
        <f>K4</f>
        <v>24</v>
      </c>
      <c r="O6" s="6">
        <v>20</v>
      </c>
    </row>
    <row r="7" spans="1:15" ht="49.95" customHeight="1" x14ac:dyDescent="0.3">
      <c r="A7" s="5" t="s">
        <v>30</v>
      </c>
      <c r="B7" s="5" t="s">
        <v>31</v>
      </c>
      <c r="C7" s="5" t="s">
        <v>34</v>
      </c>
      <c r="D7" s="5" t="s">
        <v>46</v>
      </c>
      <c r="E7" s="5">
        <v>8</v>
      </c>
      <c r="F7" s="5">
        <v>2</v>
      </c>
      <c r="G7" s="5">
        <v>3</v>
      </c>
      <c r="H7" s="9" t="s">
        <v>36</v>
      </c>
      <c r="J7" s="8" t="s">
        <v>39</v>
      </c>
      <c r="K7" s="6">
        <f>K6/3</f>
        <v>43.666666666666664</v>
      </c>
      <c r="M7" s="8" t="s">
        <v>45</v>
      </c>
      <c r="N7" s="6">
        <f>K5</f>
        <v>24</v>
      </c>
      <c r="O7" s="6">
        <v>10</v>
      </c>
    </row>
    <row r="8" spans="1:15" ht="49.95" customHeight="1" x14ac:dyDescent="0.3">
      <c r="A8" s="5" t="s">
        <v>24</v>
      </c>
      <c r="B8" s="5" t="s">
        <v>25</v>
      </c>
      <c r="C8" s="5" t="s">
        <v>34</v>
      </c>
      <c r="D8" s="5" t="s">
        <v>46</v>
      </c>
      <c r="E8" s="5">
        <v>8</v>
      </c>
      <c r="F8" s="5">
        <v>3</v>
      </c>
      <c r="G8" s="5">
        <v>3</v>
      </c>
      <c r="H8" s="9" t="s">
        <v>36</v>
      </c>
    </row>
    <row r="9" spans="1:15" ht="49.95" customHeight="1" x14ac:dyDescent="0.3">
      <c r="A9" s="5" t="s">
        <v>12</v>
      </c>
      <c r="B9" s="5" t="s">
        <v>47</v>
      </c>
      <c r="C9" s="5" t="s">
        <v>22</v>
      </c>
      <c r="D9" s="5" t="s">
        <v>46</v>
      </c>
      <c r="E9" s="5">
        <v>8</v>
      </c>
      <c r="F9" s="5">
        <v>4</v>
      </c>
      <c r="G9" s="5">
        <v>2</v>
      </c>
      <c r="H9" s="10" t="s">
        <v>49</v>
      </c>
    </row>
    <row r="10" spans="1:15" ht="49.95" customHeight="1" x14ac:dyDescent="0.3">
      <c r="A10" s="5" t="s">
        <v>13</v>
      </c>
      <c r="B10" s="5" t="s">
        <v>48</v>
      </c>
      <c r="C10" s="5" t="s">
        <v>34</v>
      </c>
      <c r="D10" s="5" t="s">
        <v>46</v>
      </c>
      <c r="E10" s="5">
        <v>8</v>
      </c>
      <c r="F10" s="5">
        <v>3</v>
      </c>
      <c r="G10" s="5">
        <v>2</v>
      </c>
      <c r="H10" s="11" t="s">
        <v>50</v>
      </c>
    </row>
    <row r="11" spans="1:15" ht="49.95" customHeight="1" x14ac:dyDescent="0.3">
      <c r="A11" s="5" t="s">
        <v>17</v>
      </c>
      <c r="B11" s="5" t="s">
        <v>55</v>
      </c>
      <c r="C11" s="5" t="s">
        <v>57</v>
      </c>
      <c r="D11" s="5" t="s">
        <v>51</v>
      </c>
      <c r="E11" s="5">
        <v>13</v>
      </c>
      <c r="F11" s="5">
        <v>6</v>
      </c>
      <c r="G11" s="5">
        <v>2</v>
      </c>
      <c r="H11" s="9" t="s">
        <v>36</v>
      </c>
    </row>
    <row r="12" spans="1:15" ht="49.95" customHeight="1" x14ac:dyDescent="0.3">
      <c r="A12" s="5" t="s">
        <v>14</v>
      </c>
      <c r="B12" s="5" t="s">
        <v>23</v>
      </c>
      <c r="C12" s="5" t="s">
        <v>22</v>
      </c>
      <c r="D12" s="5" t="s">
        <v>46</v>
      </c>
      <c r="E12" s="5">
        <v>8</v>
      </c>
      <c r="F12" s="5">
        <v>7</v>
      </c>
      <c r="G12" s="5">
        <v>2</v>
      </c>
      <c r="H12" s="9" t="s">
        <v>36</v>
      </c>
    </row>
    <row r="13" spans="1:15" ht="49.95" customHeight="1" x14ac:dyDescent="0.3">
      <c r="A13" s="5" t="s">
        <v>15</v>
      </c>
      <c r="B13" s="5" t="s">
        <v>52</v>
      </c>
      <c r="C13" s="5" t="s">
        <v>34</v>
      </c>
      <c r="D13" s="5" t="s">
        <v>51</v>
      </c>
      <c r="E13" s="5">
        <v>13</v>
      </c>
      <c r="F13" s="5">
        <v>1</v>
      </c>
      <c r="G13" s="5">
        <v>4</v>
      </c>
      <c r="H13" s="9" t="s">
        <v>36</v>
      </c>
    </row>
    <row r="14" spans="1:15" ht="49.95" customHeight="1" x14ac:dyDescent="0.3">
      <c r="A14" s="5" t="s">
        <v>16</v>
      </c>
      <c r="B14" s="5" t="s">
        <v>56</v>
      </c>
      <c r="C14" s="5" t="s">
        <v>34</v>
      </c>
      <c r="D14" s="5" t="s">
        <v>51</v>
      </c>
      <c r="E14" s="5">
        <v>13</v>
      </c>
      <c r="F14" s="5">
        <v>1</v>
      </c>
      <c r="G14" s="5">
        <v>2</v>
      </c>
      <c r="H14" s="9" t="s">
        <v>36</v>
      </c>
    </row>
    <row r="15" spans="1:15" ht="49.95" customHeight="1" x14ac:dyDescent="0.3">
      <c r="A15" s="5" t="s">
        <v>26</v>
      </c>
      <c r="B15" s="5" t="s">
        <v>27</v>
      </c>
      <c r="C15" s="5" t="s">
        <v>22</v>
      </c>
      <c r="D15" s="5" t="s">
        <v>46</v>
      </c>
      <c r="E15" s="5">
        <v>8</v>
      </c>
      <c r="F15" s="5">
        <v>6</v>
      </c>
      <c r="G15" s="5">
        <v>1</v>
      </c>
      <c r="H15" s="11" t="s">
        <v>50</v>
      </c>
    </row>
    <row r="16" spans="1:15" ht="49.95" customHeight="1" x14ac:dyDescent="0.3">
      <c r="A16" s="5" t="s">
        <v>28</v>
      </c>
      <c r="B16" s="5" t="s">
        <v>53</v>
      </c>
      <c r="C16" s="5" t="s">
        <v>34</v>
      </c>
      <c r="D16" s="5" t="s">
        <v>46</v>
      </c>
      <c r="E16" s="5">
        <v>8</v>
      </c>
      <c r="F16" s="5">
        <v>2</v>
      </c>
      <c r="G16" s="5">
        <v>1</v>
      </c>
      <c r="H16" s="9" t="s">
        <v>36</v>
      </c>
    </row>
    <row r="17" spans="1:8" ht="49.95" customHeight="1" x14ac:dyDescent="0.3">
      <c r="A17" s="5" t="s">
        <v>29</v>
      </c>
      <c r="B17" s="5" t="s">
        <v>54</v>
      </c>
      <c r="C17" s="5" t="s">
        <v>57</v>
      </c>
      <c r="E17" s="5">
        <v>8</v>
      </c>
      <c r="F17" s="5">
        <v>3</v>
      </c>
      <c r="G17" s="5">
        <v>1</v>
      </c>
      <c r="H17" s="9" t="s">
        <v>36</v>
      </c>
    </row>
    <row r="18" spans="1:8" ht="49.95" customHeight="1" x14ac:dyDescent="0.3">
      <c r="A18" s="5" t="s">
        <v>32</v>
      </c>
      <c r="B18" s="5" t="s">
        <v>33</v>
      </c>
      <c r="C18" s="5" t="s">
        <v>34</v>
      </c>
      <c r="D18" s="5" t="s">
        <v>35</v>
      </c>
      <c r="E18" s="5">
        <v>5</v>
      </c>
      <c r="F18" s="5">
        <v>2</v>
      </c>
      <c r="G18" s="5">
        <v>2</v>
      </c>
      <c r="H18" s="10" t="s">
        <v>49</v>
      </c>
    </row>
    <row r="19" spans="1:8" ht="49.95" customHeight="1" x14ac:dyDescent="0.3">
      <c r="A19" s="5" t="s">
        <v>58</v>
      </c>
      <c r="B19" s="5" t="s">
        <v>59</v>
      </c>
      <c r="C19" s="5" t="s">
        <v>34</v>
      </c>
      <c r="D19" s="5" t="s">
        <v>51</v>
      </c>
      <c r="E19" s="5">
        <v>13</v>
      </c>
      <c r="F19" s="5">
        <v>5</v>
      </c>
      <c r="G19" s="5">
        <v>2</v>
      </c>
      <c r="H19" s="10" t="s">
        <v>49</v>
      </c>
    </row>
    <row r="20" spans="1:8" ht="49.95" customHeight="1" x14ac:dyDescent="0.3"/>
    <row r="21" spans="1:8" ht="49.95" customHeight="1" x14ac:dyDescent="0.3"/>
    <row r="22" spans="1:8" ht="49.95" customHeight="1" x14ac:dyDescent="0.3"/>
    <row r="23" spans="1:8" ht="49.95" customHeight="1" x14ac:dyDescent="0.3"/>
    <row r="24" spans="1:8" ht="49.95" customHeight="1" x14ac:dyDescent="0.3"/>
    <row r="25" spans="1:8" ht="49.95" customHeight="1" x14ac:dyDescent="0.3"/>
    <row r="26" spans="1:8" ht="49.95" customHeight="1" x14ac:dyDescent="0.3"/>
    <row r="27" spans="1:8" ht="49.95" customHeight="1" x14ac:dyDescent="0.3"/>
    <row r="28" spans="1:8" ht="49.95" customHeight="1" x14ac:dyDescent="0.3"/>
    <row r="29" spans="1:8" ht="49.95" customHeight="1" x14ac:dyDescent="0.3"/>
    <row r="30" spans="1:8" ht="49.95" customHeight="1" x14ac:dyDescent="0.3"/>
    <row r="31" spans="1:8" ht="49.95" customHeight="1" x14ac:dyDescent="0.3"/>
    <row r="32" spans="1:8" ht="49.95" customHeight="1" x14ac:dyDescent="0.3"/>
  </sheetData>
  <mergeCells count="1">
    <mergeCell ref="A1:H1"/>
  </mergeCells>
  <conditionalFormatting sqref="H1:H2">
    <cfRule type="containsText" dxfId="2" priority="1" operator="containsText" text="A Fazer">
      <formula>NOT(ISERROR(SEARCH("A Fazer",H1)))</formula>
    </cfRule>
    <cfRule type="containsText" dxfId="1" priority="2" operator="containsText" text="Concluído">
      <formula>NOT(ISERROR(SEARCH("Concluído",H1)))</formula>
    </cfRule>
    <cfRule type="containsText" dxfId="0" priority="3" operator="containsText" text="Em Andamento">
      <formula>NOT(ISERROR(SEARCH("Em Andamento",H1)))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Vaz</dc:creator>
  <cp:lastModifiedBy>Flavia Vaz</cp:lastModifiedBy>
  <dcterms:created xsi:type="dcterms:W3CDTF">2025-11-12T01:21:09Z</dcterms:created>
  <dcterms:modified xsi:type="dcterms:W3CDTF">2025-11-26T11:36:49Z</dcterms:modified>
</cp:coreProperties>
</file>